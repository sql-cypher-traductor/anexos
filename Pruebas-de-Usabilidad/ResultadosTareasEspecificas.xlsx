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GitHub\TIC\anexos\Pruebas de Usabilidad\"/>
    </mc:Choice>
  </mc:AlternateContent>
  <xr:revisionPtr revIDLastSave="0" documentId="13_ncr:1_{0A798BFF-7E95-46D0-B1C3-89A952574368}" xr6:coauthVersionLast="47" xr6:coauthVersionMax="47" xr10:uidLastSave="{00000000-0000-0000-0000-000000000000}"/>
  <bookViews>
    <workbookView xWindow="-108" yWindow="-108" windowWidth="23256" windowHeight="12456" activeTab="4" xr2:uid="{8FFA274F-E32A-49AB-BD82-34704052ED7B}"/>
  </bookViews>
  <sheets>
    <sheet name="Tarea 01" sheetId="2" r:id="rId1"/>
    <sheet name="Tarea 02" sheetId="4" r:id="rId2"/>
    <sheet name="Tarea 03" sheetId="5" r:id="rId3"/>
    <sheet name="Tarea 04" sheetId="6" r:id="rId4"/>
    <sheet name="PROMEDIO TOTAL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E20" i="4"/>
  <c r="E21" i="5"/>
  <c r="E20" i="6"/>
  <c r="E7" i="7"/>
  <c r="F7" i="7"/>
  <c r="D7" i="7"/>
  <c r="C7" i="7"/>
  <c r="F19" i="2"/>
  <c r="D19" i="2"/>
  <c r="F20" i="4"/>
  <c r="D20" i="4"/>
  <c r="F21" i="5"/>
  <c r="D21" i="5"/>
  <c r="C21" i="5"/>
  <c r="D20" i="6"/>
  <c r="F20" i="6"/>
  <c r="C20" i="6"/>
  <c r="C10" i="6"/>
  <c r="C11" i="6"/>
  <c r="C12" i="6"/>
  <c r="C13" i="6"/>
  <c r="C14" i="6"/>
  <c r="C15" i="6"/>
  <c r="C16" i="6"/>
  <c r="C17" i="6"/>
  <c r="C18" i="6"/>
  <c r="C9" i="6"/>
  <c r="C11" i="5"/>
  <c r="C12" i="5"/>
  <c r="C13" i="5"/>
  <c r="C14" i="5"/>
  <c r="C15" i="5"/>
  <c r="C16" i="5"/>
  <c r="C17" i="5"/>
  <c r="C18" i="5"/>
  <c r="C19" i="5"/>
  <c r="C10" i="5"/>
  <c r="C10" i="4"/>
  <c r="C11" i="4"/>
  <c r="C12" i="4"/>
  <c r="C13" i="4"/>
  <c r="C14" i="4"/>
  <c r="C15" i="4"/>
  <c r="C16" i="4"/>
  <c r="C17" i="4"/>
  <c r="C18" i="4"/>
  <c r="C9" i="4"/>
  <c r="C20" i="4" s="1"/>
  <c r="C9" i="2"/>
  <c r="C10" i="2"/>
  <c r="C11" i="2"/>
  <c r="C12" i="2"/>
  <c r="C13" i="2"/>
  <c r="C14" i="2"/>
  <c r="C15" i="2"/>
  <c r="C16" i="2"/>
  <c r="C17" i="2"/>
  <c r="C8" i="2"/>
  <c r="C19" i="2" s="1"/>
</calcChain>
</file>

<file path=xl/sharedStrings.xml><?xml version="1.0" encoding="utf-8"?>
<sst xmlns="http://schemas.openxmlformats.org/spreadsheetml/2006/main" count="109" uniqueCount="48">
  <si>
    <t>Participante</t>
  </si>
  <si>
    <t>Participante 1</t>
  </si>
  <si>
    <t>Participante 2</t>
  </si>
  <si>
    <t>Participante 3</t>
  </si>
  <si>
    <t>Participante 4</t>
  </si>
  <si>
    <t>Participante 5</t>
  </si>
  <si>
    <t>Participante 6</t>
  </si>
  <si>
    <t>Participante 7</t>
  </si>
  <si>
    <t>Participante 8</t>
  </si>
  <si>
    <t>Participante 9</t>
  </si>
  <si>
    <t>Participante 10</t>
  </si>
  <si>
    <t>Grado de Satisfacción (1-5)</t>
  </si>
  <si>
    <t>Tiempo de Completación (min)</t>
  </si>
  <si>
    <t>Tasa de Éxito (%)</t>
  </si>
  <si>
    <t>Inicio de Sesión</t>
  </si>
  <si>
    <t>TAREA 01:</t>
  </si>
  <si>
    <t>No. Errores</t>
  </si>
  <si>
    <t>PASOS:</t>
  </si>
  <si>
    <t>1. Navegar a la página de inicio de sesión.</t>
  </si>
  <si>
    <t>2. Ingresar las credenciales de un usuario registrado.</t>
  </si>
  <si>
    <t>3. Validar que el inicio de sesión sea exitoso y se redirija a la pantalla principal.</t>
  </si>
  <si>
    <t>1. Dirigirse al panel de conexiones y seleccionar nueva conexión.</t>
  </si>
  <si>
    <t>2. Completar los campos requeridos agregar una nueva conexión.</t>
  </si>
  <si>
    <t>3. Probar conexión y guardarla.</t>
  </si>
  <si>
    <t>4. Verificar que la conexión haya sido guardada correctamente.</t>
  </si>
  <si>
    <t>1. Dirigirse al panel de conexiones y seleccionar una conexión Neo4j existente.</t>
  </si>
  <si>
    <t>2. Navegar al panel de traducción de consultas.</t>
  </si>
  <si>
    <t>3. Ingresar una sentencia SQL válida.</t>
  </si>
  <si>
    <t>4. Seleccionar la opción Traducir.</t>
  </si>
  <si>
    <t>5. Validar que la consulta SQL haya sido traducida a lenguaje Cypher correctamente y se almacene en el historial.</t>
  </si>
  <si>
    <t>1. Dirigirse al panel de traducción de consultas.</t>
  </si>
  <si>
    <t>2. Ingresar una sentencia SQL válida.</t>
  </si>
  <si>
    <t>3. Seleccionar la opción Ejecutar.</t>
  </si>
  <si>
    <t>4. Validar que aparezca la consulta traducida en lenguaje Cypher y los resultados de la ejecución.</t>
  </si>
  <si>
    <t>TAREA 02:</t>
  </si>
  <si>
    <t>TAREA 03:</t>
  </si>
  <si>
    <t>TAREA 04:</t>
  </si>
  <si>
    <t>Crear conexiones</t>
  </si>
  <si>
    <t>Traducir consultas SQL a Cypher</t>
  </si>
  <si>
    <t>Ejecutar consulta SQL</t>
  </si>
  <si>
    <t>Total Pasos</t>
  </si>
  <si>
    <t>Pasos Completados</t>
  </si>
  <si>
    <t>PROMEDIO</t>
  </si>
  <si>
    <t>Tarea 01</t>
  </si>
  <si>
    <t>Tarea 02</t>
  </si>
  <si>
    <t>Tarea 03</t>
  </si>
  <si>
    <t>Tarea 04</t>
  </si>
  <si>
    <t>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</si>
</sst>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17" xfId="0" applyFill="1" applyBorder="1"/>
    <xf numFmtId="9" fontId="0" fillId="3" borderId="17" xfId="1" applyFont="1" applyFill="1" applyBorder="1" applyAlignment="1">
      <alignment horizontal="center" vertical="center"/>
    </xf>
    <xf numFmtId="0" fontId="0" fillId="3" borderId="17" xfId="1" applyNumberFormat="1" applyFont="1" applyFill="1" applyBorder="1" applyAlignment="1">
      <alignment horizontal="center" vertical="center"/>
    </xf>
    <xf numFmtId="0" fontId="0" fillId="3" borderId="15" xfId="0" applyFill="1" applyBorder="1"/>
    <xf numFmtId="9" fontId="0" fillId="3" borderId="15" xfId="1" applyFont="1" applyFill="1" applyBorder="1" applyAlignment="1">
      <alignment horizontal="center" vertical="center"/>
    </xf>
    <xf numFmtId="0" fontId="0" fillId="3" borderId="15" xfId="1" applyNumberFormat="1" applyFont="1" applyFill="1" applyBorder="1" applyAlignment="1">
      <alignment horizontal="center" vertical="center"/>
    </xf>
    <xf numFmtId="0" fontId="0" fillId="3" borderId="16" xfId="0" applyFill="1" applyBorder="1"/>
    <xf numFmtId="9" fontId="0" fillId="3" borderId="16" xfId="1" applyFont="1" applyFill="1" applyBorder="1" applyAlignment="1">
      <alignment horizontal="center" vertical="center"/>
    </xf>
    <xf numFmtId="0" fontId="0" fillId="3" borderId="16" xfId="1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9" fontId="5" fillId="3" borderId="14" xfId="0" applyNumberFormat="1" applyFont="1" applyFill="1" applyBorder="1" applyAlignment="1">
      <alignment horizontal="center" vertical="center"/>
    </xf>
    <xf numFmtId="9" fontId="5" fillId="3" borderId="15" xfId="0" applyNumberFormat="1" applyFont="1" applyFill="1" applyBorder="1" applyAlignment="1">
      <alignment horizontal="center" vertical="center"/>
    </xf>
    <xf numFmtId="9" fontId="5" fillId="3" borderId="16" xfId="0" applyNumberFormat="1" applyFont="1" applyFill="1" applyBorder="1" applyAlignment="1">
      <alignment horizontal="center" vertical="center"/>
    </xf>
    <xf numFmtId="9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AAD4-CC55-42E4-9787-A4705E793541}">
  <sheetPr>
    <tabColor theme="7"/>
  </sheetPr>
  <dimension ref="B1:J19"/>
  <sheetViews>
    <sheetView workbookViewId="0">
      <selection activeCell="E19" sqref="E19"/>
    </sheetView>
  </sheetViews>
  <sheetFormatPr baseColWidth="10" defaultRowHeight="14.4" x14ac:dyDescent="0.3"/>
  <cols>
    <col min="2" max="2" width="13.109375" bestFit="1" customWidth="1"/>
    <col min="3" max="3" width="14.88671875" bestFit="1" customWidth="1"/>
    <col min="4" max="4" width="27" bestFit="1" customWidth="1"/>
    <col min="5" max="5" width="10.109375" bestFit="1" customWidth="1"/>
    <col min="6" max="6" width="23.77734375" bestFit="1" customWidth="1"/>
    <col min="8" max="8" width="17.5546875" bestFit="1" customWidth="1"/>
    <col min="10" max="10" width="10.33203125" bestFit="1" customWidth="1"/>
  </cols>
  <sheetData>
    <row r="1" spans="2:10" ht="15" thickBot="1" x14ac:dyDescent="0.35">
      <c r="B1" s="1"/>
      <c r="C1" s="1"/>
      <c r="D1" s="1"/>
      <c r="E1" s="1"/>
      <c r="F1" s="1"/>
      <c r="G1" s="1"/>
      <c r="H1" s="1"/>
    </row>
    <row r="2" spans="2:10" ht="15" thickBot="1" x14ac:dyDescent="0.35">
      <c r="B2" s="14" t="s">
        <v>15</v>
      </c>
      <c r="C2" s="22" t="s">
        <v>14</v>
      </c>
      <c r="D2" s="23"/>
      <c r="E2" s="23"/>
      <c r="F2" s="23"/>
      <c r="G2" s="23"/>
      <c r="H2" s="24"/>
      <c r="J2" s="4" t="s">
        <v>40</v>
      </c>
    </row>
    <row r="3" spans="2:10" ht="15" thickBot="1" x14ac:dyDescent="0.35">
      <c r="B3" s="19" t="s">
        <v>17</v>
      </c>
      <c r="C3" s="31" t="s">
        <v>18</v>
      </c>
      <c r="D3" s="32"/>
      <c r="E3" s="32"/>
      <c r="F3" s="32"/>
      <c r="G3" s="32"/>
      <c r="H3" s="33"/>
      <c r="J3" s="17">
        <v>3</v>
      </c>
    </row>
    <row r="4" spans="2:10" x14ac:dyDescent="0.3">
      <c r="B4" s="20"/>
      <c r="C4" s="28" t="s">
        <v>19</v>
      </c>
      <c r="D4" s="29"/>
      <c r="E4" s="29"/>
      <c r="F4" s="29"/>
      <c r="G4" s="29"/>
      <c r="H4" s="30"/>
    </row>
    <row r="5" spans="2:10" ht="15" thickBot="1" x14ac:dyDescent="0.35">
      <c r="B5" s="21"/>
      <c r="C5" s="25" t="s">
        <v>20</v>
      </c>
      <c r="D5" s="26"/>
      <c r="E5" s="26"/>
      <c r="F5" s="26"/>
      <c r="G5" s="26"/>
      <c r="H5" s="27"/>
    </row>
    <row r="6" spans="2:10" ht="15" thickBot="1" x14ac:dyDescent="0.35"/>
    <row r="7" spans="2:10" ht="15" thickBot="1" x14ac:dyDescent="0.35">
      <c r="B7" s="4" t="s">
        <v>0</v>
      </c>
      <c r="C7" s="4" t="s">
        <v>13</v>
      </c>
      <c r="D7" s="4" t="s">
        <v>12</v>
      </c>
      <c r="E7" s="4" t="s">
        <v>16</v>
      </c>
      <c r="F7" s="4" t="s">
        <v>11</v>
      </c>
      <c r="H7" s="16" t="s">
        <v>41</v>
      </c>
    </row>
    <row r="8" spans="2:10" x14ac:dyDescent="0.3">
      <c r="B8" s="5" t="s">
        <v>1</v>
      </c>
      <c r="C8" s="6">
        <f t="shared" ref="C8:C17" si="0">H8/$J$3</f>
        <v>1</v>
      </c>
      <c r="D8" s="7">
        <v>1.5</v>
      </c>
      <c r="E8" s="7">
        <v>0</v>
      </c>
      <c r="F8" s="7">
        <v>5</v>
      </c>
      <c r="H8" s="15">
        <v>3</v>
      </c>
    </row>
    <row r="9" spans="2:10" x14ac:dyDescent="0.3">
      <c r="B9" s="8" t="s">
        <v>2</v>
      </c>
      <c r="C9" s="9">
        <f t="shared" si="0"/>
        <v>1</v>
      </c>
      <c r="D9" s="10">
        <v>1.8</v>
      </c>
      <c r="E9" s="10">
        <v>0</v>
      </c>
      <c r="F9" s="10">
        <v>5</v>
      </c>
      <c r="H9" s="2">
        <v>3</v>
      </c>
    </row>
    <row r="10" spans="2:10" x14ac:dyDescent="0.3">
      <c r="B10" s="8" t="s">
        <v>3</v>
      </c>
      <c r="C10" s="9">
        <f t="shared" si="0"/>
        <v>1</v>
      </c>
      <c r="D10" s="10">
        <v>2</v>
      </c>
      <c r="E10" s="10">
        <v>1</v>
      </c>
      <c r="F10" s="10">
        <v>4</v>
      </c>
      <c r="H10" s="2">
        <v>3</v>
      </c>
    </row>
    <row r="11" spans="2:10" x14ac:dyDescent="0.3">
      <c r="B11" s="8" t="s">
        <v>4</v>
      </c>
      <c r="C11" s="9">
        <f t="shared" si="0"/>
        <v>1</v>
      </c>
      <c r="D11" s="10">
        <v>1.2</v>
      </c>
      <c r="E11" s="10">
        <v>0</v>
      </c>
      <c r="F11" s="10">
        <v>5</v>
      </c>
      <c r="H11" s="2">
        <v>3</v>
      </c>
    </row>
    <row r="12" spans="2:10" x14ac:dyDescent="0.3">
      <c r="B12" s="8" t="s">
        <v>5</v>
      </c>
      <c r="C12" s="9">
        <f t="shared" si="0"/>
        <v>1</v>
      </c>
      <c r="D12" s="10">
        <v>1.7</v>
      </c>
      <c r="E12" s="10">
        <v>0</v>
      </c>
      <c r="F12" s="10">
        <v>4</v>
      </c>
      <c r="H12" s="2">
        <v>3</v>
      </c>
    </row>
    <row r="13" spans="2:10" x14ac:dyDescent="0.3">
      <c r="B13" s="8" t="s">
        <v>6</v>
      </c>
      <c r="C13" s="9">
        <f t="shared" si="0"/>
        <v>1</v>
      </c>
      <c r="D13" s="10">
        <v>2.2999999999999998</v>
      </c>
      <c r="E13" s="10">
        <v>1</v>
      </c>
      <c r="F13" s="10">
        <v>4</v>
      </c>
      <c r="H13" s="2">
        <v>3</v>
      </c>
    </row>
    <row r="14" spans="2:10" x14ac:dyDescent="0.3">
      <c r="B14" s="8" t="s">
        <v>7</v>
      </c>
      <c r="C14" s="9">
        <f t="shared" si="0"/>
        <v>1</v>
      </c>
      <c r="D14" s="10">
        <v>1.4</v>
      </c>
      <c r="E14" s="10">
        <v>0</v>
      </c>
      <c r="F14" s="10">
        <v>5</v>
      </c>
      <c r="H14" s="2">
        <v>3</v>
      </c>
    </row>
    <row r="15" spans="2:10" x14ac:dyDescent="0.3">
      <c r="B15" s="8" t="s">
        <v>8</v>
      </c>
      <c r="C15" s="9">
        <f t="shared" si="0"/>
        <v>1</v>
      </c>
      <c r="D15" s="10">
        <v>1.9</v>
      </c>
      <c r="E15" s="10">
        <v>0</v>
      </c>
      <c r="F15" s="10">
        <v>4</v>
      </c>
      <c r="H15" s="2">
        <v>3</v>
      </c>
    </row>
    <row r="16" spans="2:10" x14ac:dyDescent="0.3">
      <c r="B16" s="8" t="s">
        <v>9</v>
      </c>
      <c r="C16" s="9">
        <f t="shared" si="0"/>
        <v>1</v>
      </c>
      <c r="D16" s="10">
        <v>2.1</v>
      </c>
      <c r="E16" s="10">
        <v>1</v>
      </c>
      <c r="F16" s="10">
        <v>4</v>
      </c>
      <c r="H16" s="2">
        <v>3</v>
      </c>
    </row>
    <row r="17" spans="2:8" ht="15" thickBot="1" x14ac:dyDescent="0.35">
      <c r="B17" s="11" t="s">
        <v>10</v>
      </c>
      <c r="C17" s="12">
        <f t="shared" si="0"/>
        <v>1</v>
      </c>
      <c r="D17" s="13">
        <v>1.3</v>
      </c>
      <c r="E17" s="13">
        <v>0</v>
      </c>
      <c r="F17" s="13">
        <v>5</v>
      </c>
      <c r="H17" s="3">
        <v>3</v>
      </c>
    </row>
    <row r="18" spans="2:8" ht="15" thickBot="1" x14ac:dyDescent="0.35"/>
    <row r="19" spans="2:8" ht="15" thickBot="1" x14ac:dyDescent="0.35">
      <c r="B19" s="4" t="s">
        <v>42</v>
      </c>
      <c r="C19" s="18">
        <f>AVERAGE(C8:C17)</f>
        <v>1</v>
      </c>
      <c r="D19" s="17">
        <f t="shared" ref="D19:F19" si="1">AVERAGE(D8:D17)</f>
        <v>1.72</v>
      </c>
      <c r="E19" s="17">
        <f t="shared" si="1"/>
        <v>0.3</v>
      </c>
      <c r="F19" s="17">
        <f t="shared" si="1"/>
        <v>4.5</v>
      </c>
    </row>
  </sheetData>
  <mergeCells count="5">
    <mergeCell ref="B3:B5"/>
    <mergeCell ref="C2:H2"/>
    <mergeCell ref="C5:H5"/>
    <mergeCell ref="C4:H4"/>
    <mergeCell ref="C3:H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94B4-0A9D-45F4-B163-FFF01A0561EA}">
  <sheetPr>
    <tabColor theme="7"/>
  </sheetPr>
  <dimension ref="B1:J20"/>
  <sheetViews>
    <sheetView workbookViewId="0">
      <selection activeCell="E20" sqref="E20"/>
    </sheetView>
  </sheetViews>
  <sheetFormatPr baseColWidth="10" defaultRowHeight="14.4" x14ac:dyDescent="0.3"/>
  <cols>
    <col min="2" max="2" width="13.109375" bestFit="1" customWidth="1"/>
    <col min="3" max="3" width="14.88671875" bestFit="1" customWidth="1"/>
    <col min="4" max="4" width="27" bestFit="1" customWidth="1"/>
    <col min="5" max="5" width="10.109375" bestFit="1" customWidth="1"/>
    <col min="6" max="6" width="23.77734375" bestFit="1" customWidth="1"/>
    <col min="8" max="8" width="17.5546875" bestFit="1" customWidth="1"/>
    <col min="10" max="10" width="10.33203125" bestFit="1" customWidth="1"/>
  </cols>
  <sheetData>
    <row r="1" spans="2:10" ht="15" thickBot="1" x14ac:dyDescent="0.35"/>
    <row r="2" spans="2:10" ht="15" thickBot="1" x14ac:dyDescent="0.35">
      <c r="B2" s="14" t="s">
        <v>34</v>
      </c>
      <c r="C2" s="22" t="s">
        <v>37</v>
      </c>
      <c r="D2" s="23"/>
      <c r="E2" s="23"/>
      <c r="F2" s="23"/>
      <c r="G2" s="23"/>
      <c r="H2" s="24"/>
      <c r="J2" s="4" t="s">
        <v>40</v>
      </c>
    </row>
    <row r="3" spans="2:10" ht="15" thickBot="1" x14ac:dyDescent="0.35">
      <c r="B3" s="19" t="s">
        <v>17</v>
      </c>
      <c r="C3" s="31" t="s">
        <v>21</v>
      </c>
      <c r="D3" s="32"/>
      <c r="E3" s="32"/>
      <c r="F3" s="32"/>
      <c r="G3" s="32"/>
      <c r="H3" s="33"/>
      <c r="J3" s="17">
        <v>4</v>
      </c>
    </row>
    <row r="4" spans="2:10" x14ac:dyDescent="0.3">
      <c r="B4" s="20"/>
      <c r="C4" s="28" t="s">
        <v>22</v>
      </c>
      <c r="D4" s="29"/>
      <c r="E4" s="29"/>
      <c r="F4" s="29"/>
      <c r="G4" s="29"/>
      <c r="H4" s="30"/>
    </row>
    <row r="5" spans="2:10" x14ac:dyDescent="0.3">
      <c r="B5" s="34"/>
      <c r="C5" s="28" t="s">
        <v>23</v>
      </c>
      <c r="D5" s="29"/>
      <c r="E5" s="29"/>
      <c r="F5" s="29"/>
      <c r="G5" s="29"/>
      <c r="H5" s="30"/>
    </row>
    <row r="6" spans="2:10" ht="15" thickBot="1" x14ac:dyDescent="0.35">
      <c r="B6" s="21"/>
      <c r="C6" s="25" t="s">
        <v>24</v>
      </c>
      <c r="D6" s="26"/>
      <c r="E6" s="26"/>
      <c r="F6" s="26"/>
      <c r="G6" s="26"/>
      <c r="H6" s="27"/>
    </row>
    <row r="7" spans="2:10" ht="15" thickBot="1" x14ac:dyDescent="0.35"/>
    <row r="8" spans="2:10" ht="15" thickBot="1" x14ac:dyDescent="0.35">
      <c r="B8" s="4" t="s">
        <v>0</v>
      </c>
      <c r="C8" s="4" t="s">
        <v>13</v>
      </c>
      <c r="D8" s="4" t="s">
        <v>12</v>
      </c>
      <c r="E8" s="4" t="s">
        <v>16</v>
      </c>
      <c r="F8" s="4" t="s">
        <v>11</v>
      </c>
      <c r="H8" s="16" t="s">
        <v>41</v>
      </c>
    </row>
    <row r="9" spans="2:10" x14ac:dyDescent="0.3">
      <c r="B9" s="5" t="s">
        <v>1</v>
      </c>
      <c r="C9" s="6">
        <f t="shared" ref="C9:C18" si="0">H9/$J$3</f>
        <v>1</v>
      </c>
      <c r="D9" s="7">
        <v>4.5</v>
      </c>
      <c r="E9" s="7">
        <v>1</v>
      </c>
      <c r="F9" s="7">
        <v>4</v>
      </c>
      <c r="H9" s="15">
        <v>4</v>
      </c>
    </row>
    <row r="10" spans="2:10" x14ac:dyDescent="0.3">
      <c r="B10" s="8" t="s">
        <v>2</v>
      </c>
      <c r="C10" s="9">
        <f t="shared" si="0"/>
        <v>1</v>
      </c>
      <c r="D10" s="10">
        <v>4</v>
      </c>
      <c r="E10" s="10">
        <v>0</v>
      </c>
      <c r="F10" s="10">
        <v>5</v>
      </c>
      <c r="H10" s="2">
        <v>4</v>
      </c>
    </row>
    <row r="11" spans="2:10" x14ac:dyDescent="0.3">
      <c r="B11" s="8" t="s">
        <v>3</v>
      </c>
      <c r="C11" s="9">
        <f t="shared" si="0"/>
        <v>0.75</v>
      </c>
      <c r="D11" s="10">
        <v>5.2</v>
      </c>
      <c r="E11" s="10">
        <v>2</v>
      </c>
      <c r="F11" s="10">
        <v>3</v>
      </c>
      <c r="H11" s="2">
        <v>3</v>
      </c>
    </row>
    <row r="12" spans="2:10" x14ac:dyDescent="0.3">
      <c r="B12" s="8" t="s">
        <v>4</v>
      </c>
      <c r="C12" s="9">
        <f t="shared" si="0"/>
        <v>1</v>
      </c>
      <c r="D12" s="10">
        <v>3.8</v>
      </c>
      <c r="E12" s="10">
        <v>0</v>
      </c>
      <c r="F12" s="10">
        <v>5</v>
      </c>
      <c r="H12" s="2">
        <v>4</v>
      </c>
    </row>
    <row r="13" spans="2:10" x14ac:dyDescent="0.3">
      <c r="B13" s="8" t="s">
        <v>5</v>
      </c>
      <c r="C13" s="9">
        <f t="shared" si="0"/>
        <v>1</v>
      </c>
      <c r="D13" s="10">
        <v>4.5999999999999996</v>
      </c>
      <c r="E13" s="10">
        <v>1</v>
      </c>
      <c r="F13" s="10">
        <v>4</v>
      </c>
      <c r="H13" s="2">
        <v>4</v>
      </c>
    </row>
    <row r="14" spans="2:10" x14ac:dyDescent="0.3">
      <c r="B14" s="8" t="s">
        <v>6</v>
      </c>
      <c r="C14" s="9">
        <f t="shared" si="0"/>
        <v>0.75</v>
      </c>
      <c r="D14" s="10">
        <v>5.5</v>
      </c>
      <c r="E14" s="10">
        <v>2</v>
      </c>
      <c r="F14" s="10">
        <v>3</v>
      </c>
      <c r="H14" s="2">
        <v>3</v>
      </c>
    </row>
    <row r="15" spans="2:10" x14ac:dyDescent="0.3">
      <c r="B15" s="8" t="s">
        <v>7</v>
      </c>
      <c r="C15" s="9">
        <f t="shared" si="0"/>
        <v>1</v>
      </c>
      <c r="D15" s="10">
        <v>3.9</v>
      </c>
      <c r="E15" s="10">
        <v>0</v>
      </c>
      <c r="F15" s="10">
        <v>5</v>
      </c>
      <c r="H15" s="2">
        <v>4</v>
      </c>
    </row>
    <row r="16" spans="2:10" x14ac:dyDescent="0.3">
      <c r="B16" s="8" t="s">
        <v>8</v>
      </c>
      <c r="C16" s="9">
        <f t="shared" si="0"/>
        <v>1</v>
      </c>
      <c r="D16" s="10">
        <v>4.3</v>
      </c>
      <c r="E16" s="10">
        <v>1</v>
      </c>
      <c r="F16" s="10">
        <v>4</v>
      </c>
      <c r="H16" s="2">
        <v>4</v>
      </c>
    </row>
    <row r="17" spans="2:8" x14ac:dyDescent="0.3">
      <c r="B17" s="8" t="s">
        <v>9</v>
      </c>
      <c r="C17" s="9">
        <f t="shared" si="0"/>
        <v>1</v>
      </c>
      <c r="D17" s="10">
        <v>4.8</v>
      </c>
      <c r="E17" s="10">
        <v>1</v>
      </c>
      <c r="F17" s="10">
        <v>4</v>
      </c>
      <c r="H17" s="2">
        <v>4</v>
      </c>
    </row>
    <row r="18" spans="2:8" ht="15" thickBot="1" x14ac:dyDescent="0.35">
      <c r="B18" s="11" t="s">
        <v>10</v>
      </c>
      <c r="C18" s="12">
        <f t="shared" si="0"/>
        <v>1</v>
      </c>
      <c r="D18" s="13">
        <v>3.7</v>
      </c>
      <c r="E18" s="13">
        <v>0</v>
      </c>
      <c r="F18" s="13">
        <v>5</v>
      </c>
      <c r="H18" s="3">
        <v>4</v>
      </c>
    </row>
    <row r="19" spans="2:8" ht="15" thickBot="1" x14ac:dyDescent="0.35"/>
    <row r="20" spans="2:8" ht="15" thickBot="1" x14ac:dyDescent="0.35">
      <c r="B20" s="4" t="s">
        <v>42</v>
      </c>
      <c r="C20" s="18">
        <f>AVERAGE(C9:C18)</f>
        <v>0.95</v>
      </c>
      <c r="D20" s="17">
        <f t="shared" ref="D20:F20" si="1">AVERAGE(D9:D18)</f>
        <v>4.43</v>
      </c>
      <c r="E20" s="17">
        <f t="shared" si="1"/>
        <v>0.8</v>
      </c>
      <c r="F20" s="17">
        <f t="shared" si="1"/>
        <v>4.2</v>
      </c>
    </row>
  </sheetData>
  <mergeCells count="6">
    <mergeCell ref="B3:B6"/>
    <mergeCell ref="C2:H2"/>
    <mergeCell ref="C3:H3"/>
    <mergeCell ref="C4:H4"/>
    <mergeCell ref="C5:H5"/>
    <mergeCell ref="C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D457-929A-4B16-8E4C-0AD9B085FD30}">
  <sheetPr>
    <tabColor theme="7"/>
  </sheetPr>
  <dimension ref="B1:J21"/>
  <sheetViews>
    <sheetView workbookViewId="0">
      <selection activeCell="E21" sqref="E21"/>
    </sheetView>
  </sheetViews>
  <sheetFormatPr baseColWidth="10" defaultRowHeight="14.4" x14ac:dyDescent="0.3"/>
  <cols>
    <col min="2" max="2" width="13.109375" bestFit="1" customWidth="1"/>
    <col min="3" max="3" width="14.88671875" bestFit="1" customWidth="1"/>
    <col min="4" max="4" width="27" bestFit="1" customWidth="1"/>
    <col min="5" max="5" width="10.109375" bestFit="1" customWidth="1"/>
    <col min="6" max="6" width="23.77734375" bestFit="1" customWidth="1"/>
    <col min="8" max="8" width="17.5546875" bestFit="1" customWidth="1"/>
    <col min="10" max="10" width="10.33203125" bestFit="1" customWidth="1"/>
  </cols>
  <sheetData>
    <row r="1" spans="2:10" ht="15" thickBot="1" x14ac:dyDescent="0.35"/>
    <row r="2" spans="2:10" ht="15" thickBot="1" x14ac:dyDescent="0.35">
      <c r="B2" s="4" t="s">
        <v>35</v>
      </c>
      <c r="C2" s="22" t="s">
        <v>38</v>
      </c>
      <c r="D2" s="23"/>
      <c r="E2" s="23"/>
      <c r="F2" s="23"/>
      <c r="G2" s="23"/>
      <c r="H2" s="24"/>
      <c r="J2" s="4" t="s">
        <v>40</v>
      </c>
    </row>
    <row r="3" spans="2:10" ht="15" thickBot="1" x14ac:dyDescent="0.35">
      <c r="B3" s="35" t="s">
        <v>17</v>
      </c>
      <c r="C3" s="31" t="s">
        <v>25</v>
      </c>
      <c r="D3" s="32"/>
      <c r="E3" s="32"/>
      <c r="F3" s="32"/>
      <c r="G3" s="32"/>
      <c r="H3" s="33"/>
      <c r="J3" s="17">
        <v>5</v>
      </c>
    </row>
    <row r="4" spans="2:10" x14ac:dyDescent="0.3">
      <c r="B4" s="36"/>
      <c r="C4" s="28" t="s">
        <v>26</v>
      </c>
      <c r="D4" s="29"/>
      <c r="E4" s="29"/>
      <c r="F4" s="29"/>
      <c r="G4" s="29"/>
      <c r="H4" s="30"/>
    </row>
    <row r="5" spans="2:10" x14ac:dyDescent="0.3">
      <c r="B5" s="36"/>
      <c r="C5" s="28" t="s">
        <v>27</v>
      </c>
      <c r="D5" s="29"/>
      <c r="E5" s="29"/>
      <c r="F5" s="29"/>
      <c r="G5" s="29"/>
      <c r="H5" s="30"/>
    </row>
    <row r="6" spans="2:10" x14ac:dyDescent="0.3">
      <c r="B6" s="36"/>
      <c r="C6" s="28" t="s">
        <v>28</v>
      </c>
      <c r="D6" s="29"/>
      <c r="E6" s="29"/>
      <c r="F6" s="29"/>
      <c r="G6" s="29"/>
      <c r="H6" s="30"/>
    </row>
    <row r="7" spans="2:10" ht="15" customHeight="1" thickBot="1" x14ac:dyDescent="0.35">
      <c r="B7" s="37"/>
      <c r="C7" s="38" t="s">
        <v>29</v>
      </c>
      <c r="D7" s="39"/>
      <c r="E7" s="39"/>
      <c r="F7" s="39"/>
      <c r="G7" s="39"/>
      <c r="H7" s="40"/>
    </row>
    <row r="8" spans="2:10" ht="15" thickBot="1" x14ac:dyDescent="0.35"/>
    <row r="9" spans="2:10" ht="15" thickBot="1" x14ac:dyDescent="0.35">
      <c r="B9" s="4" t="s">
        <v>0</v>
      </c>
      <c r="C9" s="4" t="s">
        <v>13</v>
      </c>
      <c r="D9" s="4" t="s">
        <v>12</v>
      </c>
      <c r="E9" s="4" t="s">
        <v>16</v>
      </c>
      <c r="F9" s="4" t="s">
        <v>11</v>
      </c>
      <c r="H9" s="16" t="s">
        <v>41</v>
      </c>
    </row>
    <row r="10" spans="2:10" x14ac:dyDescent="0.3">
      <c r="B10" s="5" t="s">
        <v>1</v>
      </c>
      <c r="C10" s="6">
        <f>H10/$J$3</f>
        <v>1</v>
      </c>
      <c r="D10" s="7">
        <v>3.5</v>
      </c>
      <c r="E10" s="7">
        <v>0</v>
      </c>
      <c r="F10" s="7">
        <v>5</v>
      </c>
      <c r="H10" s="15">
        <v>5</v>
      </c>
    </row>
    <row r="11" spans="2:10" x14ac:dyDescent="0.3">
      <c r="B11" s="8" t="s">
        <v>2</v>
      </c>
      <c r="C11" s="9">
        <f t="shared" ref="C11:C19" si="0">H11/$J$3</f>
        <v>1</v>
      </c>
      <c r="D11" s="10">
        <v>3.2</v>
      </c>
      <c r="E11" s="10">
        <v>0</v>
      </c>
      <c r="F11" s="10">
        <v>5</v>
      </c>
      <c r="H11" s="2">
        <v>5</v>
      </c>
    </row>
    <row r="12" spans="2:10" x14ac:dyDescent="0.3">
      <c r="B12" s="8" t="s">
        <v>3</v>
      </c>
      <c r="C12" s="9">
        <f t="shared" si="0"/>
        <v>0.8</v>
      </c>
      <c r="D12" s="10">
        <v>4.0999999999999996</v>
      </c>
      <c r="E12" s="10">
        <v>1</v>
      </c>
      <c r="F12" s="10">
        <v>4</v>
      </c>
      <c r="H12" s="2">
        <v>4</v>
      </c>
    </row>
    <row r="13" spans="2:10" x14ac:dyDescent="0.3">
      <c r="B13" s="8" t="s">
        <v>4</v>
      </c>
      <c r="C13" s="9">
        <f t="shared" si="0"/>
        <v>1</v>
      </c>
      <c r="D13" s="10">
        <v>3</v>
      </c>
      <c r="E13" s="10">
        <v>0</v>
      </c>
      <c r="F13" s="10">
        <v>5</v>
      </c>
      <c r="H13" s="2">
        <v>5</v>
      </c>
    </row>
    <row r="14" spans="2:10" x14ac:dyDescent="0.3">
      <c r="B14" s="8" t="s">
        <v>5</v>
      </c>
      <c r="C14" s="9">
        <f t="shared" si="0"/>
        <v>1</v>
      </c>
      <c r="D14" s="10">
        <v>3.6</v>
      </c>
      <c r="E14" s="10">
        <v>0</v>
      </c>
      <c r="F14" s="10">
        <v>4</v>
      </c>
      <c r="H14" s="2">
        <v>5</v>
      </c>
    </row>
    <row r="15" spans="2:10" x14ac:dyDescent="0.3">
      <c r="B15" s="8" t="s">
        <v>6</v>
      </c>
      <c r="C15" s="9">
        <f t="shared" si="0"/>
        <v>0.8</v>
      </c>
      <c r="D15" s="10">
        <v>4.5</v>
      </c>
      <c r="E15" s="10">
        <v>1</v>
      </c>
      <c r="F15" s="10">
        <v>4</v>
      </c>
      <c r="H15" s="2">
        <v>4</v>
      </c>
    </row>
    <row r="16" spans="2:10" x14ac:dyDescent="0.3">
      <c r="B16" s="8" t="s">
        <v>7</v>
      </c>
      <c r="C16" s="9">
        <f t="shared" si="0"/>
        <v>1</v>
      </c>
      <c r="D16" s="10">
        <v>2.9</v>
      </c>
      <c r="E16" s="10">
        <v>0</v>
      </c>
      <c r="F16" s="10">
        <v>5</v>
      </c>
      <c r="H16" s="2">
        <v>5</v>
      </c>
    </row>
    <row r="17" spans="2:8" x14ac:dyDescent="0.3">
      <c r="B17" s="8" t="s">
        <v>8</v>
      </c>
      <c r="C17" s="9">
        <f t="shared" si="0"/>
        <v>1</v>
      </c>
      <c r="D17" s="10">
        <v>3.8</v>
      </c>
      <c r="E17" s="10">
        <v>0</v>
      </c>
      <c r="F17" s="10">
        <v>4</v>
      </c>
      <c r="H17" s="2">
        <v>5</v>
      </c>
    </row>
    <row r="18" spans="2:8" x14ac:dyDescent="0.3">
      <c r="B18" s="8" t="s">
        <v>9</v>
      </c>
      <c r="C18" s="9">
        <f t="shared" si="0"/>
        <v>1</v>
      </c>
      <c r="D18" s="10">
        <v>4</v>
      </c>
      <c r="E18" s="10">
        <v>1</v>
      </c>
      <c r="F18" s="10">
        <v>4</v>
      </c>
      <c r="H18" s="2">
        <v>5</v>
      </c>
    </row>
    <row r="19" spans="2:8" ht="15" thickBot="1" x14ac:dyDescent="0.35">
      <c r="B19" s="11" t="s">
        <v>10</v>
      </c>
      <c r="C19" s="12">
        <f t="shared" si="0"/>
        <v>1</v>
      </c>
      <c r="D19" s="13">
        <v>3.1</v>
      </c>
      <c r="E19" s="13">
        <v>0</v>
      </c>
      <c r="F19" s="13">
        <v>5</v>
      </c>
      <c r="H19" s="3">
        <v>5</v>
      </c>
    </row>
    <row r="20" spans="2:8" ht="15" thickBot="1" x14ac:dyDescent="0.35"/>
    <row r="21" spans="2:8" ht="15" thickBot="1" x14ac:dyDescent="0.35">
      <c r="B21" s="4" t="s">
        <v>42</v>
      </c>
      <c r="C21" s="18">
        <f>AVERAGE(C10:C19)</f>
        <v>0.96</v>
      </c>
      <c r="D21" s="17">
        <f t="shared" ref="D21:F21" si="1">AVERAGE(D10:D19)</f>
        <v>3.5700000000000003</v>
      </c>
      <c r="E21" s="17">
        <f t="shared" si="1"/>
        <v>0.3</v>
      </c>
      <c r="F21" s="17">
        <f t="shared" si="1"/>
        <v>4.5</v>
      </c>
    </row>
  </sheetData>
  <mergeCells count="7">
    <mergeCell ref="C4:H4"/>
    <mergeCell ref="C5:H5"/>
    <mergeCell ref="C6:H6"/>
    <mergeCell ref="C2:H2"/>
    <mergeCell ref="B3:B7"/>
    <mergeCell ref="C7:H7"/>
    <mergeCell ref="C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98B1-6DE0-4242-AE10-55808ECFC2EC}">
  <sheetPr>
    <tabColor theme="7"/>
  </sheetPr>
  <dimension ref="B1:J20"/>
  <sheetViews>
    <sheetView topLeftCell="A6" workbookViewId="0">
      <selection activeCell="E20" sqref="E20"/>
    </sheetView>
  </sheetViews>
  <sheetFormatPr baseColWidth="10" defaultRowHeight="14.4" x14ac:dyDescent="0.3"/>
  <cols>
    <col min="2" max="2" width="13.109375" bestFit="1" customWidth="1"/>
    <col min="3" max="3" width="14.88671875" bestFit="1" customWidth="1"/>
    <col min="4" max="4" width="27" bestFit="1" customWidth="1"/>
    <col min="5" max="5" width="10.109375" bestFit="1" customWidth="1"/>
    <col min="6" max="6" width="23.77734375" bestFit="1" customWidth="1"/>
    <col min="8" max="8" width="17.5546875" bestFit="1" customWidth="1"/>
    <col min="10" max="10" width="10.33203125" bestFit="1" customWidth="1"/>
  </cols>
  <sheetData>
    <row r="1" spans="2:10" ht="15" thickBot="1" x14ac:dyDescent="0.35"/>
    <row r="2" spans="2:10" ht="15" thickBot="1" x14ac:dyDescent="0.35">
      <c r="B2" s="14" t="s">
        <v>36</v>
      </c>
      <c r="C2" s="22" t="s">
        <v>39</v>
      </c>
      <c r="D2" s="23"/>
      <c r="E2" s="23"/>
      <c r="F2" s="23"/>
      <c r="G2" s="23"/>
      <c r="H2" s="24"/>
      <c r="J2" s="4" t="s">
        <v>40</v>
      </c>
    </row>
    <row r="3" spans="2:10" ht="15" thickBot="1" x14ac:dyDescent="0.35">
      <c r="B3" s="19" t="s">
        <v>17</v>
      </c>
      <c r="C3" s="41" t="s">
        <v>30</v>
      </c>
      <c r="D3" s="42"/>
      <c r="E3" s="42"/>
      <c r="F3" s="42"/>
      <c r="G3" s="42"/>
      <c r="H3" s="43"/>
      <c r="J3" s="17">
        <v>4</v>
      </c>
    </row>
    <row r="4" spans="2:10" x14ac:dyDescent="0.3">
      <c r="B4" s="20"/>
      <c r="C4" s="28" t="s">
        <v>31</v>
      </c>
      <c r="D4" s="29"/>
      <c r="E4" s="29"/>
      <c r="F4" s="29"/>
      <c r="G4" s="29"/>
      <c r="H4" s="30"/>
    </row>
    <row r="5" spans="2:10" x14ac:dyDescent="0.3">
      <c r="B5" s="20"/>
      <c r="C5" s="28" t="s">
        <v>32</v>
      </c>
      <c r="D5" s="29"/>
      <c r="E5" s="29"/>
      <c r="F5" s="29"/>
      <c r="G5" s="29"/>
      <c r="H5" s="30"/>
    </row>
    <row r="6" spans="2:10" ht="15" customHeight="1" thickBot="1" x14ac:dyDescent="0.35">
      <c r="B6" s="21"/>
      <c r="C6" s="38" t="s">
        <v>33</v>
      </c>
      <c r="D6" s="39"/>
      <c r="E6" s="39"/>
      <c r="F6" s="39"/>
      <c r="G6" s="39"/>
      <c r="H6" s="40"/>
    </row>
    <row r="7" spans="2:10" ht="15" thickBot="1" x14ac:dyDescent="0.35"/>
    <row r="8" spans="2:10" ht="15" thickBot="1" x14ac:dyDescent="0.35">
      <c r="B8" s="4" t="s">
        <v>0</v>
      </c>
      <c r="C8" s="4" t="s">
        <v>13</v>
      </c>
      <c r="D8" s="4" t="s">
        <v>12</v>
      </c>
      <c r="E8" s="4" t="s">
        <v>16</v>
      </c>
      <c r="F8" s="4" t="s">
        <v>11</v>
      </c>
      <c r="H8" s="16" t="s">
        <v>41</v>
      </c>
    </row>
    <row r="9" spans="2:10" x14ac:dyDescent="0.3">
      <c r="B9" s="5" t="s">
        <v>1</v>
      </c>
      <c r="C9" s="6">
        <f>H9/$J$3</f>
        <v>1</v>
      </c>
      <c r="D9" s="7">
        <v>2.8</v>
      </c>
      <c r="E9" s="7">
        <v>0</v>
      </c>
      <c r="F9" s="7">
        <v>5</v>
      </c>
      <c r="H9" s="15">
        <v>4</v>
      </c>
    </row>
    <row r="10" spans="2:10" x14ac:dyDescent="0.3">
      <c r="B10" s="8" t="s">
        <v>2</v>
      </c>
      <c r="C10" s="9">
        <f t="shared" ref="C10:C18" si="0">H10/$J$3</f>
        <v>1</v>
      </c>
      <c r="D10" s="10">
        <v>2.5</v>
      </c>
      <c r="E10" s="10">
        <v>0</v>
      </c>
      <c r="F10" s="10">
        <v>5</v>
      </c>
      <c r="H10" s="2">
        <v>4</v>
      </c>
    </row>
    <row r="11" spans="2:10" x14ac:dyDescent="0.3">
      <c r="B11" s="8" t="s">
        <v>3</v>
      </c>
      <c r="C11" s="9">
        <f t="shared" si="0"/>
        <v>1</v>
      </c>
      <c r="D11" s="10">
        <v>3.2</v>
      </c>
      <c r="E11" s="10">
        <v>1</v>
      </c>
      <c r="F11" s="10">
        <v>4</v>
      </c>
      <c r="H11" s="2">
        <v>4</v>
      </c>
    </row>
    <row r="12" spans="2:10" x14ac:dyDescent="0.3">
      <c r="B12" s="8" t="s">
        <v>4</v>
      </c>
      <c r="C12" s="9">
        <f t="shared" si="0"/>
        <v>1</v>
      </c>
      <c r="D12" s="10">
        <v>2.4</v>
      </c>
      <c r="E12" s="10">
        <v>0</v>
      </c>
      <c r="F12" s="10">
        <v>5</v>
      </c>
      <c r="H12" s="2">
        <v>4</v>
      </c>
    </row>
    <row r="13" spans="2:10" x14ac:dyDescent="0.3">
      <c r="B13" s="8" t="s">
        <v>5</v>
      </c>
      <c r="C13" s="9">
        <f t="shared" si="0"/>
        <v>1</v>
      </c>
      <c r="D13" s="10">
        <v>2.9</v>
      </c>
      <c r="E13" s="10">
        <v>0</v>
      </c>
      <c r="F13" s="10">
        <v>4</v>
      </c>
      <c r="H13" s="2">
        <v>4</v>
      </c>
    </row>
    <row r="14" spans="2:10" x14ac:dyDescent="0.3">
      <c r="B14" s="8" t="s">
        <v>6</v>
      </c>
      <c r="C14" s="9">
        <f t="shared" si="0"/>
        <v>0.75</v>
      </c>
      <c r="D14" s="10">
        <v>3.6</v>
      </c>
      <c r="E14" s="10">
        <v>1</v>
      </c>
      <c r="F14" s="10">
        <v>3</v>
      </c>
      <c r="H14" s="2">
        <v>3</v>
      </c>
    </row>
    <row r="15" spans="2:10" x14ac:dyDescent="0.3">
      <c r="B15" s="8" t="s">
        <v>7</v>
      </c>
      <c r="C15" s="9">
        <f t="shared" si="0"/>
        <v>1</v>
      </c>
      <c r="D15" s="10">
        <v>2.2999999999999998</v>
      </c>
      <c r="E15" s="10">
        <v>0</v>
      </c>
      <c r="F15" s="10">
        <v>5</v>
      </c>
      <c r="H15" s="2">
        <v>4</v>
      </c>
    </row>
    <row r="16" spans="2:10" x14ac:dyDescent="0.3">
      <c r="B16" s="8" t="s">
        <v>8</v>
      </c>
      <c r="C16" s="9">
        <f t="shared" si="0"/>
        <v>1</v>
      </c>
      <c r="D16" s="10">
        <v>3</v>
      </c>
      <c r="E16" s="10">
        <v>0</v>
      </c>
      <c r="F16" s="10">
        <v>4</v>
      </c>
      <c r="H16" s="2">
        <v>4</v>
      </c>
    </row>
    <row r="17" spans="2:8" x14ac:dyDescent="0.3">
      <c r="B17" s="8" t="s">
        <v>9</v>
      </c>
      <c r="C17" s="9">
        <f t="shared" si="0"/>
        <v>1</v>
      </c>
      <c r="D17" s="10">
        <v>3.3</v>
      </c>
      <c r="E17" s="10">
        <v>1</v>
      </c>
      <c r="F17" s="10">
        <v>4</v>
      </c>
      <c r="H17" s="2">
        <v>4</v>
      </c>
    </row>
    <row r="18" spans="2:8" ht="15" thickBot="1" x14ac:dyDescent="0.35">
      <c r="B18" s="11" t="s">
        <v>10</v>
      </c>
      <c r="C18" s="12">
        <f t="shared" si="0"/>
        <v>1</v>
      </c>
      <c r="D18" s="13">
        <v>2.6</v>
      </c>
      <c r="E18" s="13">
        <v>0</v>
      </c>
      <c r="F18" s="13">
        <v>5</v>
      </c>
      <c r="H18" s="3">
        <v>4</v>
      </c>
    </row>
    <row r="19" spans="2:8" ht="15" thickBot="1" x14ac:dyDescent="0.35"/>
    <row r="20" spans="2:8" ht="15" thickBot="1" x14ac:dyDescent="0.35">
      <c r="B20" s="4" t="s">
        <v>42</v>
      </c>
      <c r="C20" s="18">
        <f>AVERAGE(C9:C18)</f>
        <v>0.97499999999999998</v>
      </c>
      <c r="D20" s="17">
        <f t="shared" ref="D20:F20" si="1">AVERAGE(D9:D18)</f>
        <v>2.8600000000000003</v>
      </c>
      <c r="E20" s="17">
        <f t="shared" si="1"/>
        <v>0.3</v>
      </c>
      <c r="F20" s="17">
        <f t="shared" si="1"/>
        <v>4.4000000000000004</v>
      </c>
    </row>
  </sheetData>
  <mergeCells count="6">
    <mergeCell ref="B3:B6"/>
    <mergeCell ref="C2:H2"/>
    <mergeCell ref="C3:H3"/>
    <mergeCell ref="C4:H4"/>
    <mergeCell ref="C5:H5"/>
    <mergeCell ref="C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F1AD-F49A-45F6-95FA-6DCFE8C57960}">
  <sheetPr>
    <tabColor theme="7"/>
  </sheetPr>
  <dimension ref="B1:F7"/>
  <sheetViews>
    <sheetView tabSelected="1" workbookViewId="0">
      <selection activeCell="E7" sqref="E7"/>
    </sheetView>
  </sheetViews>
  <sheetFormatPr baseColWidth="10" defaultRowHeight="14.4" x14ac:dyDescent="0.3"/>
  <cols>
    <col min="3" max="3" width="14.88671875" bestFit="1" customWidth="1"/>
    <col min="4" max="4" width="27" bestFit="1" customWidth="1"/>
    <col min="5" max="5" width="10.109375" bestFit="1" customWidth="1"/>
    <col min="6" max="6" width="23.77734375" bestFit="1" customWidth="1"/>
  </cols>
  <sheetData>
    <row r="1" spans="2:6" ht="15" thickBot="1" x14ac:dyDescent="0.35"/>
    <row r="2" spans="2:6" ht="15" thickBot="1" x14ac:dyDescent="0.35">
      <c r="B2" s="4" t="s">
        <v>47</v>
      </c>
      <c r="C2" s="4" t="s">
        <v>13</v>
      </c>
      <c r="D2" s="4" t="s">
        <v>12</v>
      </c>
      <c r="E2" s="4" t="s">
        <v>16</v>
      </c>
      <c r="F2" s="4" t="s">
        <v>11</v>
      </c>
    </row>
    <row r="3" spans="2:6" x14ac:dyDescent="0.3">
      <c r="B3" s="44" t="s">
        <v>43</v>
      </c>
      <c r="C3" s="47">
        <v>1</v>
      </c>
      <c r="D3" s="44">
        <v>1.72</v>
      </c>
      <c r="E3" s="44">
        <v>0.3</v>
      </c>
      <c r="F3" s="44">
        <v>4.5</v>
      </c>
    </row>
    <row r="4" spans="2:6" x14ac:dyDescent="0.3">
      <c r="B4" s="45" t="s">
        <v>44</v>
      </c>
      <c r="C4" s="48">
        <v>0.95</v>
      </c>
      <c r="D4" s="45">
        <v>4.43</v>
      </c>
      <c r="E4" s="45">
        <v>0.8</v>
      </c>
      <c r="F4" s="45">
        <v>4.2</v>
      </c>
    </row>
    <row r="5" spans="2:6" x14ac:dyDescent="0.3">
      <c r="B5" s="45" t="s">
        <v>45</v>
      </c>
      <c r="C5" s="48">
        <v>0.96</v>
      </c>
      <c r="D5" s="45">
        <v>3.5700000000000003</v>
      </c>
      <c r="E5" s="45">
        <v>0.3</v>
      </c>
      <c r="F5" s="45">
        <v>4.5</v>
      </c>
    </row>
    <row r="6" spans="2:6" ht="15" thickBot="1" x14ac:dyDescent="0.35">
      <c r="B6" s="46" t="s">
        <v>46</v>
      </c>
      <c r="C6" s="49">
        <v>0.97499999999999998</v>
      </c>
      <c r="D6" s="46">
        <v>2.8600000000000003</v>
      </c>
      <c r="E6" s="46">
        <v>0.3</v>
      </c>
      <c r="F6" s="46">
        <v>4.4000000000000004</v>
      </c>
    </row>
    <row r="7" spans="2:6" ht="15" thickBot="1" x14ac:dyDescent="0.35">
      <c r="C7" s="50">
        <f>AVERAGE(C3:C6)</f>
        <v>0.97125000000000006</v>
      </c>
      <c r="D7" s="51">
        <f>AVERAGE(D3:D6)</f>
        <v>3.1449999999999996</v>
      </c>
      <c r="E7" s="51">
        <f t="shared" ref="E7:F7" si="0">AVERAGE(E3:E6)</f>
        <v>0.42500000000000004</v>
      </c>
      <c r="F7" s="51">
        <f t="shared" si="0"/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Tarea 01</vt:lpstr>
      <vt:lpstr>Tarea 02</vt:lpstr>
      <vt:lpstr>Tarea 03</vt:lpstr>
      <vt:lpstr>Tarea 04</vt:lpstr>
      <vt:lpstr>PROMEDIO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ANDRES CANTUNA GUANO</dc:creator>
  <cp:lastModifiedBy>EDWIN ANDRES CANTUNA GUANO</cp:lastModifiedBy>
  <dcterms:created xsi:type="dcterms:W3CDTF">2026-01-22T15:24:07Z</dcterms:created>
  <dcterms:modified xsi:type="dcterms:W3CDTF">2026-01-22T18:59:29Z</dcterms:modified>
</cp:coreProperties>
</file>