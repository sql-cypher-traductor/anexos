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GitHub\TIC\anexos\Pruebas de Usabilidad\"/>
    </mc:Choice>
  </mc:AlternateContent>
  <xr:revisionPtr revIDLastSave="0" documentId="13_ncr:1_{AB165AB5-A9E3-48AB-A377-EB4B36591343}" xr6:coauthVersionLast="47" xr6:coauthVersionMax="47" xr10:uidLastSave="{00000000-0000-0000-0000-000000000000}"/>
  <bookViews>
    <workbookView xWindow="-108" yWindow="-108" windowWidth="23256" windowHeight="12456" activeTab="1" xr2:uid="{8FFA274F-E32A-49AB-BD82-34704052ED7B}"/>
  </bookViews>
  <sheets>
    <sheet name="Preguntas SUS" sheetId="3" r:id="rId1"/>
    <sheet name="Evaluación SU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7" i="1"/>
  <c r="P8" i="1"/>
  <c r="P10" i="1"/>
  <c r="P11" i="1"/>
  <c r="P3" i="1"/>
  <c r="O4" i="1"/>
  <c r="O5" i="1"/>
  <c r="O6" i="1"/>
  <c r="O7" i="1"/>
  <c r="O8" i="1"/>
  <c r="O9" i="1"/>
  <c r="P9" i="1" s="1"/>
  <c r="O10" i="1"/>
  <c r="O11" i="1"/>
  <c r="O12" i="1"/>
  <c r="O3" i="1"/>
  <c r="N4" i="1"/>
  <c r="N5" i="1"/>
  <c r="N6" i="1"/>
  <c r="N7" i="1"/>
  <c r="N8" i="1"/>
  <c r="N9" i="1"/>
  <c r="N10" i="1"/>
  <c r="N11" i="1"/>
  <c r="N12" i="1"/>
  <c r="N3" i="1"/>
  <c r="Q5" i="1"/>
  <c r="Q4" i="1"/>
  <c r="Q7" i="1"/>
  <c r="P12" i="1" l="1"/>
  <c r="P6" i="1"/>
  <c r="Q6" i="1" s="1"/>
  <c r="Q8" i="1"/>
  <c r="Q9" i="1"/>
  <c r="Q12" i="1"/>
  <c r="Q11" i="1"/>
  <c r="Q10" i="1"/>
  <c r="Q3" i="1"/>
  <c r="Q14" i="1" l="1"/>
</calcChain>
</file>

<file path=xl/sharedStrings.xml><?xml version="1.0" encoding="utf-8"?>
<sst xmlns="http://schemas.openxmlformats.org/spreadsheetml/2006/main" count="38" uniqueCount="38">
  <si>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</si>
  <si>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</si>
  <si>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</si>
  <si>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</si>
  <si>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</si>
  <si>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</si>
  <si>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</si>
  <si>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</si>
  <si>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</si>
  <si>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</si>
  <si>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Participante</t>
  </si>
  <si>
    <t>Suma Impares</t>
  </si>
  <si>
    <t>Suma Pares</t>
  </si>
  <si>
    <t>Subtotal SUS</t>
  </si>
  <si>
    <t>Resultado SUS</t>
  </si>
  <si>
    <t>EVALUACIÓN FINAL SUS</t>
  </si>
  <si>
    <t>N°</t>
  </si>
  <si>
    <t>Pregunta</t>
  </si>
  <si>
    <t>Creo que me gustaría utilizar este sistema con frecuencia</t>
  </si>
  <si>
    <t>Pensé que el sistema era fácil de usar</t>
  </si>
  <si>
    <t>Encontré el sistema innecesariamente complejo</t>
  </si>
  <si>
    <t>Creo que necesitaría el apoyo de un técnico para poder utilizar este sistema</t>
  </si>
  <si>
    <t>Encontré que las diversas funciones de este sistema estaban bien integradas</t>
  </si>
  <si>
    <t>Pensé que había demasiada inconsistencia en este sistema</t>
  </si>
  <si>
    <t>Me imagino que la mayoría de la gente aprendería a utilizar este sistema muy rápidamente</t>
  </si>
  <si>
    <t>Encontré el sistema muy complicado de usar</t>
  </si>
  <si>
    <t>Me sentí muy seguro usando el sistema</t>
  </si>
  <si>
    <t>Necesitaba aprender muchas cosas antes de empezar con este sistema</t>
  </si>
  <si>
    <t>Participante 1</t>
  </si>
  <si>
    <t>Participante 2</t>
  </si>
  <si>
    <t>Participante 3</t>
  </si>
  <si>
    <t>Participante 4</t>
  </si>
  <si>
    <t>Participante 5</t>
  </si>
  <si>
    <t>Participante 6</t>
  </si>
  <si>
    <t>Participante 7</t>
  </si>
  <si>
    <t>Participante 8</t>
  </si>
  <si>
    <t>Participante 9</t>
  </si>
  <si>
    <t>Participante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</si>
</sst>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14" xfId="0" applyFill="1" applyBorder="1" applyAlignment="1">
      <alignment horizontal="center" vertical="center"/>
    </xf>
    <xf numFmtId="0" fontId="0" fillId="3" borderId="14" xfId="0" applyFill="1" applyBorder="1" applyAlignment="1">
      <alignment vertical="center"/>
    </xf>
    <xf numFmtId="0" fontId="0" fillId="3" borderId="12" xfId="0" applyFill="1" applyBorder="1" applyAlignment="1">
      <alignment horizontal="center" vertical="center"/>
    </xf>
    <xf numFmtId="0" fontId="0" fillId="3" borderId="12" xfId="0" applyFill="1" applyBorder="1" applyAlignment="1">
      <alignment vertical="center"/>
    </xf>
    <xf numFmtId="0" fontId="0" fillId="3" borderId="13" xfId="0" applyFill="1" applyBorder="1" applyAlignment="1">
      <alignment horizontal="center" vertical="center"/>
    </xf>
    <xf numFmtId="0" fontId="0" fillId="3" borderId="13" xfId="0" applyFill="1" applyBorder="1" applyAlignment="1">
      <alignment vertical="center"/>
    </xf>
    <xf numFmtId="0" fontId="0" fillId="3" borderId="17" xfId="0" applyFill="1" applyBorder="1" applyAlignment="1">
      <alignment horizontal="center" vertical="center"/>
    </xf>
    <xf numFmtId="0" fontId="0" fillId="3" borderId="17" xfId="0" applyFill="1" applyBorder="1"/>
    <xf numFmtId="0" fontId="0" fillId="3" borderId="15" xfId="0" applyFill="1" applyBorder="1" applyAlignment="1">
      <alignment horizontal="center" vertical="center"/>
    </xf>
    <xf numFmtId="0" fontId="0" fillId="3" borderId="15" xfId="0" applyFill="1" applyBorder="1"/>
    <xf numFmtId="0" fontId="0" fillId="3" borderId="16" xfId="0" applyFill="1" applyBorder="1" applyAlignment="1">
      <alignment horizontal="center" vertical="center"/>
    </xf>
    <xf numFmtId="0" fontId="0" fillId="3" borderId="16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6"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572D73-9BB8-4F25-A732-6AEC46235E41}" name="Tabla1" displayName="Tabla1" ref="B2:L12" totalsRowShown="0" headerRowDxfId="15" dataDxfId="13" headerRowBorderDxfId="14" tableBorderDxfId="12" totalsRowBorderDxfId="11">
  <autoFilter ref="B2:L12" xr:uid="{F2572D73-9BB8-4F25-A732-6AEC46235E41}"/>
  <tableColumns count="11">
    <tableColumn id="1" xr3:uid="{2AB798A2-E9BE-4997-876C-34025237D3C1}" name="Participante" dataDxfId="10"/>
    <tableColumn id="2" xr3:uid="{EAFBCB0B-876F-47BC-9480-46405DDCF242}" name="P1" dataDxfId="9"/>
    <tableColumn id="3" xr3:uid="{08CB95A5-7262-4844-A22B-77C8DD13E824}" name="P2" dataDxfId="8"/>
    <tableColumn id="4" xr3:uid="{498A5EDD-F2C1-443B-A22B-06D8A54BAAAB}" name="P3" dataDxfId="7"/>
    <tableColumn id="5" xr3:uid="{309CE2B6-C02D-4CAC-BEA3-95848736F387}" name="P4" dataDxfId="6"/>
    <tableColumn id="6" xr3:uid="{DBB0611D-3E60-4291-B39F-8FDD85E2A294}" name="P5" dataDxfId="5"/>
    <tableColumn id="7" xr3:uid="{44E59A60-46A2-4DBE-B62A-CC1620D824A3}" name="P6" dataDxfId="4"/>
    <tableColumn id="8" xr3:uid="{C12032D4-F435-40A7-B8F8-7F519CA43532}" name="P7" dataDxfId="3"/>
    <tableColumn id="9" xr3:uid="{AF5AF551-A8EB-4E53-AA6D-007AFB79AC94}" name="P8" dataDxfId="2"/>
    <tableColumn id="10" xr3:uid="{18DF66C2-E6CB-4BF2-9F5B-52EA3D664315}" name="P9" dataDxfId="1"/>
    <tableColumn id="11" xr3:uid="{07C56CC8-7B5E-4632-8F9F-52544910CAEA}" name="P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5AAA-9A93-4714-A4EA-347950B3D89D}">
  <sheetPr>
    <tabColor theme="5"/>
  </sheetPr>
  <dimension ref="B1:C12"/>
  <sheetViews>
    <sheetView workbookViewId="0">
      <selection activeCell="C15" sqref="C15"/>
    </sheetView>
  </sheetViews>
  <sheetFormatPr baseColWidth="10" defaultRowHeight="14.4" x14ac:dyDescent="0.3"/>
  <cols>
    <col min="2" max="2" width="3.109375" bestFit="1" customWidth="1"/>
    <col min="3" max="3" width="74.88671875" bestFit="1" customWidth="1"/>
  </cols>
  <sheetData>
    <row r="1" spans="2:3" ht="15" thickBot="1" x14ac:dyDescent="0.35"/>
    <row r="2" spans="2:3" ht="15" thickBot="1" x14ac:dyDescent="0.35">
      <c r="B2" s="26" t="s">
        <v>16</v>
      </c>
      <c r="C2" s="26" t="s">
        <v>17</v>
      </c>
    </row>
    <row r="3" spans="2:3" x14ac:dyDescent="0.3">
      <c r="B3" s="14">
        <v>1</v>
      </c>
      <c r="C3" s="15" t="s">
        <v>18</v>
      </c>
    </row>
    <row r="4" spans="2:3" x14ac:dyDescent="0.3">
      <c r="B4" s="16">
        <v>2</v>
      </c>
      <c r="C4" s="17" t="s">
        <v>20</v>
      </c>
    </row>
    <row r="5" spans="2:3" x14ac:dyDescent="0.3">
      <c r="B5" s="16">
        <v>3</v>
      </c>
      <c r="C5" s="17" t="s">
        <v>19</v>
      </c>
    </row>
    <row r="6" spans="2:3" x14ac:dyDescent="0.3">
      <c r="B6" s="16">
        <v>4</v>
      </c>
      <c r="C6" s="17" t="s">
        <v>21</v>
      </c>
    </row>
    <row r="7" spans="2:3" x14ac:dyDescent="0.3">
      <c r="B7" s="16">
        <v>5</v>
      </c>
      <c r="C7" s="17" t="s">
        <v>22</v>
      </c>
    </row>
    <row r="8" spans="2:3" x14ac:dyDescent="0.3">
      <c r="B8" s="16">
        <v>6</v>
      </c>
      <c r="C8" s="17" t="s">
        <v>23</v>
      </c>
    </row>
    <row r="9" spans="2:3" x14ac:dyDescent="0.3">
      <c r="B9" s="16">
        <v>7</v>
      </c>
      <c r="C9" s="17" t="s">
        <v>24</v>
      </c>
    </row>
    <row r="10" spans="2:3" x14ac:dyDescent="0.3">
      <c r="B10" s="16">
        <v>8</v>
      </c>
      <c r="C10" s="17" t="s">
        <v>25</v>
      </c>
    </row>
    <row r="11" spans="2:3" x14ac:dyDescent="0.3">
      <c r="B11" s="16">
        <v>9</v>
      </c>
      <c r="C11" s="17" t="s">
        <v>26</v>
      </c>
    </row>
    <row r="12" spans="2:3" ht="15" thickBot="1" x14ac:dyDescent="0.35">
      <c r="B12" s="18">
        <v>10</v>
      </c>
      <c r="C12" s="19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189F4-5EDC-44ED-AE70-8EFF3F65C178}">
  <sheetPr>
    <tabColor theme="5"/>
  </sheetPr>
  <dimension ref="B1:Q14"/>
  <sheetViews>
    <sheetView tabSelected="1" workbookViewId="0">
      <selection activeCell="D18" sqref="D18"/>
    </sheetView>
  </sheetViews>
  <sheetFormatPr baseColWidth="10" defaultRowHeight="14.4" x14ac:dyDescent="0.3"/>
  <cols>
    <col min="2" max="2" width="15.77734375" bestFit="1" customWidth="1"/>
    <col min="3" max="11" width="7.5546875" bestFit="1" customWidth="1"/>
    <col min="12" max="12" width="8.5546875" bestFit="1" customWidth="1"/>
    <col min="14" max="14" width="13" bestFit="1" customWidth="1"/>
    <col min="16" max="16" width="11.88671875" bestFit="1" customWidth="1"/>
    <col min="17" max="17" width="13.109375" bestFit="1" customWidth="1"/>
  </cols>
  <sheetData>
    <row r="1" spans="2:17" ht="15" thickBot="1" x14ac:dyDescent="0.35"/>
    <row r="2" spans="2:17" ht="15" thickBot="1" x14ac:dyDescent="0.35">
      <c r="B2" s="13" t="s">
        <v>10</v>
      </c>
      <c r="C2" s="13" t="s">
        <v>0</v>
      </c>
      <c r="D2" s="13" t="s">
        <v>1</v>
      </c>
      <c r="E2" s="13" t="s">
        <v>2</v>
      </c>
      <c r="F2" s="13" t="s">
        <v>3</v>
      </c>
      <c r="G2" s="13" t="s">
        <v>4</v>
      </c>
      <c r="H2" s="13" t="s">
        <v>5</v>
      </c>
      <c r="I2" s="13" t="s">
        <v>6</v>
      </c>
      <c r="J2" s="13" t="s">
        <v>7</v>
      </c>
      <c r="K2" s="13" t="s">
        <v>8</v>
      </c>
      <c r="L2" s="13" t="s">
        <v>9</v>
      </c>
      <c r="N2" s="26" t="s">
        <v>11</v>
      </c>
      <c r="O2" s="27" t="s">
        <v>12</v>
      </c>
      <c r="P2" s="27" t="s">
        <v>13</v>
      </c>
      <c r="Q2" s="27" t="s">
        <v>14</v>
      </c>
    </row>
    <row r="3" spans="2:17" x14ac:dyDescent="0.3">
      <c r="B3" s="9" t="s">
        <v>28</v>
      </c>
      <c r="C3" s="10">
        <v>4</v>
      </c>
      <c r="D3" s="11">
        <v>2</v>
      </c>
      <c r="E3" s="11">
        <v>4</v>
      </c>
      <c r="F3" s="11">
        <v>2</v>
      </c>
      <c r="G3" s="11">
        <v>4</v>
      </c>
      <c r="H3" s="11">
        <v>2</v>
      </c>
      <c r="I3" s="11">
        <v>5</v>
      </c>
      <c r="J3" s="11">
        <v>1</v>
      </c>
      <c r="K3" s="11">
        <v>4</v>
      </c>
      <c r="L3" s="12">
        <v>2</v>
      </c>
      <c r="N3" s="14">
        <f>Tabla1[[#This Row],[P1]]+Tabla1[[#This Row],[P3]]+Tabla1[[#This Row],[P5]]+Tabla1[[#This Row],[P7]]+Tabla1[[#This Row],[P9]]-5</f>
        <v>16</v>
      </c>
      <c r="O3" s="20">
        <f>25-(Tabla1[[#This Row],[P2]]+Tabla1[[#This Row],[P4]]+Tabla1[[#This Row],[P6]]+Tabla1[[#This Row],[P8]]+Tabla1[[#This Row],[P10]])</f>
        <v>16</v>
      </c>
      <c r="P3" s="21">
        <f>N3+O3</f>
        <v>32</v>
      </c>
      <c r="Q3" s="21">
        <f>P3*2.5</f>
        <v>80</v>
      </c>
    </row>
    <row r="4" spans="2:17" x14ac:dyDescent="0.3">
      <c r="B4" s="9" t="s">
        <v>29</v>
      </c>
      <c r="C4" s="7">
        <v>5</v>
      </c>
      <c r="D4" s="3">
        <v>2</v>
      </c>
      <c r="E4" s="3">
        <v>4</v>
      </c>
      <c r="F4" s="3">
        <v>1</v>
      </c>
      <c r="G4" s="3">
        <v>5</v>
      </c>
      <c r="H4" s="3">
        <v>2</v>
      </c>
      <c r="I4" s="3">
        <v>4</v>
      </c>
      <c r="J4" s="3">
        <v>2</v>
      </c>
      <c r="K4" s="3">
        <v>5</v>
      </c>
      <c r="L4" s="4">
        <v>1</v>
      </c>
      <c r="N4" s="16">
        <f>Tabla1[[#This Row],[P1]]+Tabla1[[#This Row],[P3]]+Tabla1[[#This Row],[P5]]+Tabla1[[#This Row],[P7]]+Tabla1[[#This Row],[P9]]-5</f>
        <v>18</v>
      </c>
      <c r="O4" s="22">
        <f>25-(Tabla1[[#This Row],[P2]]+Tabla1[[#This Row],[P4]]+Tabla1[[#This Row],[P6]]+Tabla1[[#This Row],[P8]]+Tabla1[[#This Row],[P10]])</f>
        <v>17</v>
      </c>
      <c r="P4" s="23">
        <f t="shared" ref="P4:P12" si="0">N4+O4</f>
        <v>35</v>
      </c>
      <c r="Q4" s="23">
        <f t="shared" ref="Q4:Q12" si="1">P4*2.5</f>
        <v>87.5</v>
      </c>
    </row>
    <row r="5" spans="2:17" x14ac:dyDescent="0.3">
      <c r="B5" s="9" t="s">
        <v>30</v>
      </c>
      <c r="C5" s="7">
        <v>4</v>
      </c>
      <c r="D5" s="3">
        <v>3</v>
      </c>
      <c r="E5" s="3">
        <v>4</v>
      </c>
      <c r="F5" s="3">
        <v>2</v>
      </c>
      <c r="G5" s="3">
        <v>4</v>
      </c>
      <c r="H5" s="3">
        <v>2</v>
      </c>
      <c r="I5" s="3">
        <v>4</v>
      </c>
      <c r="J5" s="3">
        <v>2</v>
      </c>
      <c r="K5" s="3">
        <v>4</v>
      </c>
      <c r="L5" s="4">
        <v>2</v>
      </c>
      <c r="N5" s="16">
        <f>Tabla1[[#This Row],[P1]]+Tabla1[[#This Row],[P3]]+Tabla1[[#This Row],[P5]]+Tabla1[[#This Row],[P7]]+Tabla1[[#This Row],[P9]]-5</f>
        <v>15</v>
      </c>
      <c r="O5" s="22">
        <f>25-(Tabla1[[#This Row],[P2]]+Tabla1[[#This Row],[P4]]+Tabla1[[#This Row],[P6]]+Tabla1[[#This Row],[P8]]+Tabla1[[#This Row],[P10]])</f>
        <v>14</v>
      </c>
      <c r="P5" s="23">
        <f t="shared" si="0"/>
        <v>29</v>
      </c>
      <c r="Q5" s="23">
        <f t="shared" si="1"/>
        <v>72.5</v>
      </c>
    </row>
    <row r="6" spans="2:17" x14ac:dyDescent="0.3">
      <c r="B6" s="9" t="s">
        <v>31</v>
      </c>
      <c r="C6" s="7">
        <v>4</v>
      </c>
      <c r="D6" s="3">
        <v>2</v>
      </c>
      <c r="E6" s="3">
        <v>5</v>
      </c>
      <c r="F6" s="3">
        <v>1</v>
      </c>
      <c r="G6" s="3">
        <v>4</v>
      </c>
      <c r="H6" s="3">
        <v>1</v>
      </c>
      <c r="I6" s="3">
        <v>5</v>
      </c>
      <c r="J6" s="3">
        <v>3</v>
      </c>
      <c r="K6" s="3">
        <v>5</v>
      </c>
      <c r="L6" s="4">
        <v>2</v>
      </c>
      <c r="N6" s="16">
        <f>Tabla1[[#This Row],[P1]]+Tabla1[[#This Row],[P3]]+Tabla1[[#This Row],[P5]]+Tabla1[[#This Row],[P7]]+Tabla1[[#This Row],[P9]]-5</f>
        <v>18</v>
      </c>
      <c r="O6" s="22">
        <f>25-(Tabla1[[#This Row],[P2]]+Tabla1[[#This Row],[P4]]+Tabla1[[#This Row],[P6]]+Tabla1[[#This Row],[P8]]+Tabla1[[#This Row],[P10]])</f>
        <v>16</v>
      </c>
      <c r="P6" s="23">
        <f t="shared" si="0"/>
        <v>34</v>
      </c>
      <c r="Q6" s="23">
        <f t="shared" si="1"/>
        <v>85</v>
      </c>
    </row>
    <row r="7" spans="2:17" x14ac:dyDescent="0.3">
      <c r="B7" s="9" t="s">
        <v>32</v>
      </c>
      <c r="C7" s="7">
        <v>4</v>
      </c>
      <c r="D7" s="3">
        <v>2</v>
      </c>
      <c r="E7" s="3">
        <v>4</v>
      </c>
      <c r="F7" s="3">
        <v>2</v>
      </c>
      <c r="G7" s="3">
        <v>4</v>
      </c>
      <c r="H7" s="3">
        <v>2</v>
      </c>
      <c r="I7" s="3">
        <v>4</v>
      </c>
      <c r="J7" s="3">
        <v>2</v>
      </c>
      <c r="K7" s="3">
        <v>4</v>
      </c>
      <c r="L7" s="4">
        <v>2</v>
      </c>
      <c r="N7" s="16">
        <f>Tabla1[[#This Row],[P1]]+Tabla1[[#This Row],[P3]]+Tabla1[[#This Row],[P5]]+Tabla1[[#This Row],[P7]]+Tabla1[[#This Row],[P9]]-5</f>
        <v>15</v>
      </c>
      <c r="O7" s="22">
        <f>25-(Tabla1[[#This Row],[P2]]+Tabla1[[#This Row],[P4]]+Tabla1[[#This Row],[P6]]+Tabla1[[#This Row],[P8]]+Tabla1[[#This Row],[P10]])</f>
        <v>15</v>
      </c>
      <c r="P7" s="23">
        <f t="shared" si="0"/>
        <v>30</v>
      </c>
      <c r="Q7" s="23">
        <f t="shared" si="1"/>
        <v>75</v>
      </c>
    </row>
    <row r="8" spans="2:17" x14ac:dyDescent="0.3">
      <c r="B8" s="9" t="s">
        <v>33</v>
      </c>
      <c r="C8" s="7">
        <v>4</v>
      </c>
      <c r="D8" s="3">
        <v>3</v>
      </c>
      <c r="E8" s="3">
        <v>3</v>
      </c>
      <c r="F8" s="3">
        <v>2</v>
      </c>
      <c r="G8" s="3">
        <v>4</v>
      </c>
      <c r="H8" s="3">
        <v>3</v>
      </c>
      <c r="I8" s="3">
        <v>4</v>
      </c>
      <c r="J8" s="3">
        <v>2</v>
      </c>
      <c r="K8" s="3">
        <v>4</v>
      </c>
      <c r="L8" s="4">
        <v>2</v>
      </c>
      <c r="N8" s="16">
        <f>Tabla1[[#This Row],[P1]]+Tabla1[[#This Row],[P3]]+Tabla1[[#This Row],[P5]]+Tabla1[[#This Row],[P7]]+Tabla1[[#This Row],[P9]]-5</f>
        <v>14</v>
      </c>
      <c r="O8" s="22">
        <f>25-(Tabla1[[#This Row],[P2]]+Tabla1[[#This Row],[P4]]+Tabla1[[#This Row],[P6]]+Tabla1[[#This Row],[P8]]+Tabla1[[#This Row],[P10]])</f>
        <v>13</v>
      </c>
      <c r="P8" s="23">
        <f t="shared" si="0"/>
        <v>27</v>
      </c>
      <c r="Q8" s="23">
        <f t="shared" si="1"/>
        <v>67.5</v>
      </c>
    </row>
    <row r="9" spans="2:17" x14ac:dyDescent="0.3">
      <c r="B9" s="9" t="s">
        <v>34</v>
      </c>
      <c r="C9" s="7">
        <v>5</v>
      </c>
      <c r="D9" s="3">
        <v>2</v>
      </c>
      <c r="E9" s="3">
        <v>5</v>
      </c>
      <c r="F9" s="3">
        <v>2</v>
      </c>
      <c r="G9" s="3">
        <v>5</v>
      </c>
      <c r="H9" s="3">
        <v>1</v>
      </c>
      <c r="I9" s="3">
        <v>5</v>
      </c>
      <c r="J9" s="3">
        <v>2</v>
      </c>
      <c r="K9" s="3">
        <v>5</v>
      </c>
      <c r="L9" s="4">
        <v>2</v>
      </c>
      <c r="N9" s="16">
        <f>Tabla1[[#This Row],[P1]]+Tabla1[[#This Row],[P3]]+Tabla1[[#This Row],[P5]]+Tabla1[[#This Row],[P7]]+Tabla1[[#This Row],[P9]]-5</f>
        <v>20</v>
      </c>
      <c r="O9" s="22">
        <f>25-(Tabla1[[#This Row],[P2]]+Tabla1[[#This Row],[P4]]+Tabla1[[#This Row],[P6]]+Tabla1[[#This Row],[P8]]+Tabla1[[#This Row],[P10]])</f>
        <v>16</v>
      </c>
      <c r="P9" s="23">
        <f t="shared" si="0"/>
        <v>36</v>
      </c>
      <c r="Q9" s="23">
        <f t="shared" si="1"/>
        <v>90</v>
      </c>
    </row>
    <row r="10" spans="2:17" x14ac:dyDescent="0.3">
      <c r="B10" s="9" t="s">
        <v>35</v>
      </c>
      <c r="C10" s="7">
        <v>4</v>
      </c>
      <c r="D10" s="3">
        <v>2</v>
      </c>
      <c r="E10" s="3">
        <v>4</v>
      </c>
      <c r="F10" s="3">
        <v>2</v>
      </c>
      <c r="G10" s="3">
        <v>4</v>
      </c>
      <c r="H10" s="3">
        <v>2</v>
      </c>
      <c r="I10" s="3">
        <v>5</v>
      </c>
      <c r="J10" s="3">
        <v>2</v>
      </c>
      <c r="K10" s="3">
        <v>4</v>
      </c>
      <c r="L10" s="4">
        <v>2</v>
      </c>
      <c r="N10" s="16">
        <f>Tabla1[[#This Row],[P1]]+Tabla1[[#This Row],[P3]]+Tabla1[[#This Row],[P5]]+Tabla1[[#This Row],[P7]]+Tabla1[[#This Row],[P9]]-5</f>
        <v>16</v>
      </c>
      <c r="O10" s="22">
        <f>25-(Tabla1[[#This Row],[P2]]+Tabla1[[#This Row],[P4]]+Tabla1[[#This Row],[P6]]+Tabla1[[#This Row],[P8]]+Tabla1[[#This Row],[P10]])</f>
        <v>15</v>
      </c>
      <c r="P10" s="23">
        <f t="shared" si="0"/>
        <v>31</v>
      </c>
      <c r="Q10" s="23">
        <f t="shared" si="1"/>
        <v>77.5</v>
      </c>
    </row>
    <row r="11" spans="2:17" x14ac:dyDescent="0.3">
      <c r="B11" s="9" t="s">
        <v>36</v>
      </c>
      <c r="C11" s="7">
        <v>4</v>
      </c>
      <c r="D11" s="3">
        <v>2</v>
      </c>
      <c r="E11" s="3">
        <v>4</v>
      </c>
      <c r="F11" s="3">
        <v>3</v>
      </c>
      <c r="G11" s="3">
        <v>4</v>
      </c>
      <c r="H11" s="3">
        <v>2</v>
      </c>
      <c r="I11" s="3">
        <v>4</v>
      </c>
      <c r="J11" s="3">
        <v>2</v>
      </c>
      <c r="K11" s="3">
        <v>4</v>
      </c>
      <c r="L11" s="4">
        <v>2</v>
      </c>
      <c r="N11" s="16">
        <f>Tabla1[[#This Row],[P1]]+Tabla1[[#This Row],[P3]]+Tabla1[[#This Row],[P5]]+Tabla1[[#This Row],[P7]]+Tabla1[[#This Row],[P9]]-5</f>
        <v>15</v>
      </c>
      <c r="O11" s="22">
        <f>25-(Tabla1[[#This Row],[P2]]+Tabla1[[#This Row],[P4]]+Tabla1[[#This Row],[P6]]+Tabla1[[#This Row],[P8]]+Tabla1[[#This Row],[P10]])</f>
        <v>14</v>
      </c>
      <c r="P11" s="23">
        <f t="shared" si="0"/>
        <v>29</v>
      </c>
      <c r="Q11" s="23">
        <f t="shared" si="1"/>
        <v>72.5</v>
      </c>
    </row>
    <row r="12" spans="2:17" ht="15" thickBot="1" x14ac:dyDescent="0.35">
      <c r="B12" s="9" t="s">
        <v>37</v>
      </c>
      <c r="C12" s="8">
        <v>4</v>
      </c>
      <c r="D12" s="5">
        <v>2</v>
      </c>
      <c r="E12" s="5">
        <v>5</v>
      </c>
      <c r="F12" s="5">
        <v>1</v>
      </c>
      <c r="G12" s="5">
        <v>5</v>
      </c>
      <c r="H12" s="5">
        <v>2</v>
      </c>
      <c r="I12" s="5">
        <v>4</v>
      </c>
      <c r="J12" s="5">
        <v>2</v>
      </c>
      <c r="K12" s="5">
        <v>5</v>
      </c>
      <c r="L12" s="6">
        <v>1</v>
      </c>
      <c r="N12" s="18">
        <f>Tabla1[[#This Row],[P1]]+Tabla1[[#This Row],[P3]]+Tabla1[[#This Row],[P5]]+Tabla1[[#This Row],[P7]]+Tabla1[[#This Row],[P9]]-5</f>
        <v>18</v>
      </c>
      <c r="O12" s="24">
        <f>25-(Tabla1[[#This Row],[P2]]+Tabla1[[#This Row],[P4]]+Tabla1[[#This Row],[P6]]+Tabla1[[#This Row],[P8]]+Tabla1[[#This Row],[P10]])</f>
        <v>17</v>
      </c>
      <c r="P12" s="25">
        <f t="shared" si="0"/>
        <v>35</v>
      </c>
      <c r="Q12" s="25">
        <f t="shared" si="1"/>
        <v>87.5</v>
      </c>
    </row>
    <row r="13" spans="2:17" ht="15" thickBot="1" x14ac:dyDescent="0.35"/>
    <row r="14" spans="2:17" ht="29.4" thickBot="1" x14ac:dyDescent="0.35">
      <c r="E14" s="1"/>
      <c r="P14" s="28" t="s">
        <v>15</v>
      </c>
      <c r="Q14" s="2">
        <f>AVERAGE(Q3:Q12)</f>
        <v>79.5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Preguntas SUS</vt:lpstr>
      <vt:lpstr>Evaluación SUS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ANDRES CANTUNA GUANO</dc:creator>
  <cp:lastModifiedBy>EDWIN ANDRES CANTUNA GUANO</cp:lastModifiedBy>
  <dcterms:created xsi:type="dcterms:W3CDTF">2026-01-22T15:24:07Z</dcterms:created>
  <dcterms:modified xsi:type="dcterms:W3CDTF">2026-01-22T19:17:56Z</dcterms:modified>
</cp:coreProperties>
</file>